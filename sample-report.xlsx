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山積み表" state="visible" r:id="rId5"/>
    <sheet sheetId="3" name="サイクル推移" state="visible" r:id="rId6"/>
    <sheet sheetId="4" name="タスク詳細" state="visible" r:id="rId7"/>
    <sheet sheetId="5" name="改善ポイント" state="visible" r:id="rId8"/>
    <sheet sheetId="6" name="ガントチャート" state="visible" r:id="rId9"/>
  </sheets>
  <calcPr calcId="171027"/>
</workbook>
</file>

<file path=xl/sharedStrings.xml><?xml version="1.0" encoding="utf-8"?>
<sst xmlns="http://schemas.openxmlformats.org/spreadsheetml/2006/main" count="308" uniqueCount="108">
  <si>
    <t>📊 カイゼンスコープ レポート</t>
  </si>
  <si>
    <t>カテゴリ</t>
  </si>
  <si>
    <t>秒数</t>
  </si>
  <si>
    <t>セッション名</t>
  </si>
  <si>
    <t>デモ: ライン1 朝礼後計測</t>
  </si>
  <si>
    <t>正味</t>
  </si>
  <si>
    <t>作成日時</t>
  </si>
  <si>
    <t>2026/5/17 18:30:00</t>
  </si>
  <si>
    <t>付帯</t>
  </si>
  <si>
    <t>分析モード</t>
  </si>
  <si>
    <t>人＋機械</t>
  </si>
  <si>
    <t>ムダ・停止</t>
  </si>
  <si>
    <t>動画長さ</t>
  </si>
  <si>
    <t>195.0s</t>
  </si>
  <si>
    <t>FPS</t>
  </si>
  <si>
    <t>タクトタイム (秒)</t>
  </si>
  <si>
    <t>記録件数</t>
  </si>
  <si>
    <t>対象リソース数</t>
  </si>
  <si>
    <t>記録サイクル数</t>
  </si>
  <si>
    <t>ラベル</t>
  </si>
  <si>
    <t>正味(s)</t>
  </si>
  <si>
    <t>付帯(s)</t>
  </si>
  <si>
    <t>ムダ(s)</t>
  </si>
  <si>
    <t>合計(s)</t>
  </si>
  <si>
    <t>タクト達成率</t>
  </si>
  <si>
    <t>C1 👷太郎</t>
  </si>
  <si>
    <t>C1 👷次郎</t>
  </si>
  <si>
    <t>C1 ⚙プレスA</t>
  </si>
  <si>
    <t>C2 👷太郎</t>
  </si>
  <si>
    <t>C2 👷次郎</t>
  </si>
  <si>
    <t>C2 ⚙プレスA</t>
  </si>
  <si>
    <t>C3 👷太郎</t>
  </si>
  <si>
    <t>C3 👷次郎</t>
  </si>
  <si>
    <t>C3 ⚙プレスA</t>
  </si>
  <si>
    <t>↓ グラフ (データを変えると自動更新されます)</t>
  </si>
  <si>
    <t>サイクル</t>
  </si>
  <si>
    <t>正味%</t>
  </si>
  <si>
    <t>付帯%</t>
  </si>
  <si>
    <t>ムダ%</t>
  </si>
  <si>
    <t>C1</t>
  </si>
  <si>
    <t>C2</t>
  </si>
  <si>
    <t>C3</t>
  </si>
  <si>
    <t>↓ サイクル間のカテゴリ比率の推移</t>
  </si>
  <si>
    <t>#</t>
  </si>
  <si>
    <t>リソース</t>
  </si>
  <si>
    <t>タイプ</t>
  </si>
  <si>
    <t>作業名</t>
  </si>
  <si>
    <t>開始(秒)</t>
  </si>
  <si>
    <t>終了(秒)</t>
  </si>
  <si>
    <t>所要(秒)</t>
  </si>
  <si>
    <t>太郎</t>
  </si>
  <si>
    <t>人</t>
  </si>
  <si>
    <t>部品取り</t>
  </si>
  <si>
    <t>付帯作業</t>
  </si>
  <si>
    <t>次郎</t>
  </si>
  <si>
    <t>段取り</t>
  </si>
  <si>
    <t>プレスA</t>
  </si>
  <si>
    <t>機械</t>
  </si>
  <si>
    <t>付帯稼働</t>
  </si>
  <si>
    <t>ボルト締め</t>
  </si>
  <si>
    <t>正味作業</t>
  </si>
  <si>
    <t>プレス加工</t>
  </si>
  <si>
    <t>正味稼働</t>
  </si>
  <si>
    <t>加工準備</t>
  </si>
  <si>
    <t>検査補助</t>
  </si>
  <si>
    <t>検査</t>
  </si>
  <si>
    <t>片付け</t>
  </si>
  <si>
    <t>完成品運搬</t>
  </si>
  <si>
    <t>手待ち</t>
  </si>
  <si>
    <t>ムダ</t>
  </si>
  <si>
    <t>チョコ停</t>
  </si>
  <si>
    <t>停止ロス</t>
  </si>
  <si>
    <t>次工程準備</t>
  </si>
  <si>
    <t>重要度</t>
  </si>
  <si>
    <t>タイトル</t>
  </si>
  <si>
    <t>内容</t>
  </si>
  <si>
    <t>改善案</t>
  </si>
  <si>
    <t>🔴 要対応</t>
  </si>
  <si>
    <t>タクト超過: 太郎 (C2)</t>
  </si>
  <si>
    <t xml:space="preserve">合計 65.0s / タクト 60.0s
超過分 5.0s</t>
  </si>
  <si>
    <t>ムダ・停止の削減か工程の組み替えが必要</t>
  </si>
  <si>
    <t>タクト超過: プレスA (C2)</t>
  </si>
  <si>
    <t xml:space="preserve">合計 62.0s / タクト 60.0s
超過分 2.0s</t>
  </si>
  <si>
    <t>🟡 改善余地</t>
  </si>
  <si>
    <t>負荷の偏り (C1)</t>
  </si>
  <si>
    <t xml:space="preserve">プレスA: 50.0s
次郎: 37.0s
差: 13.0s</t>
  </si>
  <si>
    <t>プレスA の「プレス加工」を 次郎 に渡すと差が縮まります</t>
  </si>
  <si>
    <t>負荷の偏り (C2)</t>
  </si>
  <si>
    <t xml:space="preserve">太郎: 65.0s
次郎: 47.0s
差: 18.0s</t>
  </si>
  <si>
    <t>太郎 の「ボルト締め」を 次郎 に渡すと差が縮まります</t>
  </si>
  <si>
    <t>ムダ・停止が 20% (C2)</t>
  </si>
  <si>
    <t>合計 35.0s がムダ・停止</t>
  </si>
  <si>
    <t>無くせるムダか、減らせるムダかを動画で確認</t>
  </si>
  <si>
    <t>負荷の偏り (C3)</t>
  </si>
  <si>
    <t xml:space="preserve">太郎: 55.0s
次郎: 40.0s
差: 15.0s</t>
  </si>
  <si>
    <t>👷太郎: 次工程準備</t>
  </si>
  <si>
    <t>👷太郎: 完成品運搬</t>
  </si>
  <si>
    <t>👷次郎: 片付け</t>
  </si>
  <si>
    <t>⚙プレスA: プレス加工</t>
  </si>
  <si>
    <t>👷太郎: 検査</t>
  </si>
  <si>
    <t>👷次郎: 検査補助</t>
  </si>
  <si>
    <t>👷次郎: 加工準備</t>
  </si>
  <si>
    <t>👷太郎: ボルト締め</t>
  </si>
  <si>
    <t>👷太郎: 部品取り</t>
  </si>
  <si>
    <t>👷次郎: 段取り</t>
  </si>
  <si>
    <t>⚙プレスA: 段取り</t>
  </si>
  <si>
    <t>⚙プレスA: チョコ停</t>
  </si>
  <si>
    <t>👷次郎: 手待ち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</si>
</sst>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</font>
    <font>
      <i/>
      <color rgb="FF6B7280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CA5A5"/>
      </patternFill>
    </fill>
    <fill>
      <patternFill patternType="solid">
        <fgColor rgb="FF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9" fontId="0" fillId="0" borderId="0" xfId="0" applyNumberFormat="1"/>
    <xf numFmtId="0" fontId="4" fillId="0" borderId="0" xfId="0" applyFont="1"/>
    <xf numFmtId="0" fontId="3" fillId="5" borderId="0" xfId="0" applyFont="1" applyFill="1"/>
    <xf numFmtId="0" fontId="3" fillId="4" borderId="0" xfId="0" applyFont="1" applyFill="1"/>
    <xf numFmtId="0" fontId="3" fillId="6" borderId="0" xfId="0" applyFont="1" applyFill="1"/>
    <xf numFmtId="0" fontId="3" fillId="7" borderId="0" xfId="0" applyFont="1" applyFill="1"/>
    <xf numFmtId="0" fontId="0" fillId="0" borderId="0" xfId="0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ja-JP" b="1" sz="1400"/>
              <a:t>全体カテゴリ比率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2C55E"/>
              </a:solidFill>
              <a:ln>
                <a:solidFill>
                  <a:srgbClr val="FFFFFF"/>
                </a:solidFill>
                <a:w w="20000"/>
              </a:ln>
            </c:spPr>
          </c:dPt>
          <c:dPt>
            <c:idx val="1"/>
            <c:bubble3D val="0"/>
            <c:spPr>
              <a:solidFill>
                <a:srgbClr val="EAB308"/>
              </a:solidFill>
              <a:ln>
                <a:solidFill>
                  <a:srgbClr val="FFFFFF"/>
                </a:solidFill>
                <a:w w="20000"/>
              </a:ln>
            </c:spPr>
          </c:dPt>
          <c:dPt>
            <c:idx val="2"/>
            <c:bubble3D val="0"/>
            <c:spPr>
              <a:solidFill>
                <a:srgbClr val="EF4444"/>
              </a:solidFill>
              <a:ln>
                <a:solidFill>
                  <a:srgbClr val="FFFFFF"/>
                </a:solidFill>
                <a:w w="20000"/>
              </a:ln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eparator>
</c:separator>
          </c:dLbls>
          <c:cat>
            <c:strRef>
              <c:f>'概要'!$D$3:$D$5</c:f>
            </c:strRef>
          </c:cat>
          <c:val>
            <c:numRef>
              <c:f>'概要'!$E$3:$E$5</c:f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ja-JP" b="1" sz="1400"/>
              <a:t>山積み表 (サイクル × リソース)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正味</c:v>
          </c:tx>
          <c:spPr>
            <a:solidFill>
              <a:srgbClr val="22C55E"/>
            </a:solidFill>
            <a:ln>
              <a:noFill/>
            </a:ln>
          </c:spPr>
          <c:cat>
            <c:strRef>
              <c:f>'山積み表'!$A$2:$A$10</c:f>
            </c:strRef>
          </c:cat>
          <c:val>
            <c:numRef>
              <c:f>'山積み表'!$B$2:$B$10</c:f>
            </c:numRef>
          </c:val>
        </c:ser>
        <c:ser>
          <c:idx val="1"/>
          <c:order val="1"/>
          <c:tx>
            <c:v>付帯</c:v>
          </c:tx>
          <c:spPr>
            <a:solidFill>
              <a:srgbClr val="EAB308"/>
            </a:solidFill>
            <a:ln>
              <a:noFill/>
            </a:ln>
          </c:spPr>
          <c:cat>
            <c:strRef>
              <c:f>'山積み表'!$A$2:$A$10</c:f>
            </c:strRef>
          </c:cat>
          <c:val>
            <c:numRef>
              <c:f>'山積み表'!$C$2:$C$10</c:f>
            </c:numRef>
          </c:val>
        </c:ser>
        <c:ser>
          <c:idx val="2"/>
          <c:order val="2"/>
          <c:tx>
            <c:v>ムダ・停止</c:v>
          </c:tx>
          <c:spPr>
            <a:solidFill>
              <a:srgbClr val="EF4444"/>
            </a:solidFill>
            <a:ln>
              <a:noFill/>
            </a:ln>
          </c:spPr>
          <c:cat>
            <c:strRef>
              <c:f>'山積み表'!$A$2:$A$10</c:f>
            </c:strRef>
          </c:cat>
          <c:val>
            <c:numRef>
              <c:f>'山積み表'!$D$2:$D$10</c:f>
            </c:numRef>
          </c:val>
        </c:ser>
        <c:overlap val="100"/>
        <c:axId val="111111"/>
        <c:axId val="222222"/>
      </c:barChart>
      <c:catAx>
        <c:axId val="111111"/>
        <c:scaling>
          <c:orientation val="minMax"/>
        </c:scaling>
        <c:delete val="0"/>
        <c:axPos val="b"/>
        <c:crossAx val="222222"/>
        <c:crosses val="autoZero"/>
        <c:auto val="1"/>
        <c:lblAlgn val="ctr"/>
        <c:lblOffset val="100"/>
        <c:noMultiLvlLbl val="0"/>
      </c:catAx>
      <c:valAx>
        <c:axId val="2222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r>
                  <a:rPr lang="ja-JP"/>
                  <a:t>秒</a:t>
                </a:r>
              </a:p>
            </c:rich>
          </c:tx>
          <c:overlay val="0"/>
        </c:title>
        <c:crossAx val="11111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ja-JP" b="1" sz="1400"/>
              <a:t>サイクル間 カテゴリ比率の推移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正味%</c:v>
          </c:tx>
          <c:spPr>
            <a:ln w="28000">
              <a:solidFill>
                <a:srgbClr val="22C55E"/>
              </a:solidFill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cat>
            <c:strRef>
              <c:f>'サイクル推移'!$A$2:$A$4</c:f>
            </c:strRef>
          </c:cat>
          <c:val>
            <c:numRef>
              <c:f>'サイクル推移'!$B$2:$B$4</c:f>
            </c:numRef>
          </c:val>
          <c:smooth val="0"/>
        </c:ser>
        <c:ser>
          <c:idx val="1"/>
          <c:order val="1"/>
          <c:tx>
            <c:v>付帯%</c:v>
          </c:tx>
          <c:spPr>
            <a:ln w="28000">
              <a:solidFill>
                <a:srgbClr val="EAB308"/>
              </a:solidFill>
            </a:ln>
          </c:spPr>
          <c:marker>
            <c:symbol val="circle"/>
            <c:size val="7"/>
            <c:spPr>
              <a:solidFill>
                <a:srgbClr val="EAB308"/>
              </a:solidFill>
            </c:spPr>
          </c:marker>
          <c:cat>
            <c:strRef>
              <c:f>'サイクル推移'!$A$2:$A$4</c:f>
            </c:strRef>
          </c:cat>
          <c:val>
            <c:numRef>
              <c:f>'サイクル推移'!$C$2:$C$4</c:f>
            </c:numRef>
          </c:val>
          <c:smooth val="0"/>
        </c:ser>
        <c:ser>
          <c:idx val="2"/>
          <c:order val="2"/>
          <c:tx>
            <c:v>ムダ%</c:v>
          </c:tx>
          <c:spPr>
            <a:ln w="28000">
              <a:solidFill>
                <a:srgbClr val="EF4444"/>
              </a:solidFill>
            </a:ln>
          </c:spPr>
          <c:marker>
            <c:symbol val="circle"/>
            <c:size val="7"/>
            <c:spPr>
              <a:solidFill>
                <a:srgbClr val="EF4444"/>
              </a:solidFill>
            </c:spPr>
          </c:marker>
          <c:cat>
            <c:strRef>
              <c:f>'サイクル推移'!$A$2:$A$4</c:f>
            </c:strRef>
          </c:cat>
          <c:val>
            <c:numRef>
              <c:f>'サイクル推移'!$D$2:$D$4</c:f>
            </c:numRef>
          </c:val>
          <c:smooth val="0"/>
        </c:ser>
        <c:marker val="1"/>
        <c:axId val="333333"/>
        <c:axId val="444444"/>
      </c:lineChart>
      <c:catAx>
        <c:axId val="333333"/>
        <c:scaling>
          <c:orientation val="minMax"/>
        </c:scaling>
        <c:delete val="0"/>
        <c:axPos val="b"/>
        <c:crossAx val="444444"/>
      </c:catAx>
      <c:valAx>
        <c:axId val="444444"/>
        <c:scaling>
          <c:orientation val="minMax"/>
        </c:scaling>
        <c:delete val="0"/>
        <c:axPos val="l"/>
        <c:numFmt formatCode="0%" sourceLinked="0"/>
        <c:crossAx val="333333"/>
      </c:valAx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ja-JP" b="1" sz="1400"/>
              <a:t>ガントチャート (タスク × 時系列)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開始</c:v>
          </c:tx>
          <c:spPr>
            <a:noFill/>
            <a:ln>
              <a:noFill/>
            </a:ln>
          </c:spPr>
          <c:invertIfNegative val="0"/>
          <c:cat>
            <c:strRef>
              <c:f>'ガントチャート'!$A$2:$A$37</c:f>
            </c:strRef>
          </c:cat>
          <c:val>
            <c:numRef>
              <c:f>'ガントチャート'!$B$2:$B$37</c:f>
            </c:numRef>
          </c:val>
        </c:ser>
        <c:ser>
          <c:idx val="1"/>
          <c:order val="1"/>
          <c:tx>
            <c:v>所要</c:v>
          </c:tx>
          <c:spPr>
            <a:solidFill>
              <a:srgbClr val="2563EB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6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7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8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9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10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11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12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3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4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15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6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</c:spPr>
          </c:dPt>
          <c:dPt>
            <c:idx val="17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18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</c:spPr>
          </c:dPt>
          <c:dPt>
            <c:idx val="19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2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22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3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4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5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6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27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28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29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30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3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32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</c:spPr>
          </c:dPt>
          <c:dPt>
            <c:idx val="33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34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dPt>
            <c:idx val="35"/>
            <c:invertIfNegative val="0"/>
            <c:bubble3D val="0"/>
            <c:spPr>
              <a:solidFill>
                <a:srgbClr val="EAB308"/>
              </a:solidFill>
              <a:ln>
                <a:noFill/>
              </a:ln>
            </c:spPr>
          </c:dPt>
          <c:cat>
            <c:strRef>
              <c:f>'ガントチャート'!$A$2:$A$37</c:f>
            </c:strRef>
          </c:cat>
          <c:val>
            <c:numRef>
              <c:f>'ガントチャート'!$D$2:$D$37</c:f>
            </c:numRef>
          </c:val>
        </c:ser>
        <c:gapWidth val="80"/>
        <c:overlap val="100"/>
        <c:axId val="777777"/>
        <c:axId val="888888"/>
      </c:barChart>
      <c:catAx>
        <c:axId val="777777"/>
        <c:scaling>
          <c:orientation val="minMax"/>
        </c:scaling>
        <c:delete val="0"/>
        <c:axPos val="l"/>
        <c:crossAx val="888888"/>
        <c:crosses val="autoZero"/>
        <c:auto val="1"/>
        <c:lblAlgn val="ctr"/>
        <c:lblOffset val="100"/>
        <c:noMultiLvlLbl val="0"/>
      </c:catAx>
      <c:valAx>
        <c:axId val="88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ja-JP"/>
                  <a:t>秒</a:t>
                </a:r>
              </a:p>
            </c:rich>
          </c:tx>
          <c:overlay val="0"/>
        </c:title>
        <c:crossAx val="777777"/>
        <c:crosses val="autoZero"/>
        <c:crossBetween val="between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</file>

<file path=xl/drawings/_rels/drawing4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12</xdr:row>
      <xdr:rowOff>0</xdr:rowOff>
    </xdr:from>
    <xdr:to>
      <xdr:col>7</xdr:col>
      <xdr:colOff>0</xdr:colOff>
      <xdr:row>32</xdr:row>
      <xdr:rowOff>0</xdr:rowOff>
    </xdr:to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13</xdr:row>
      <xdr:rowOff>0</xdr:rowOff>
    </xdr:from>
    <xdr:to>
      <xdr:col>10</xdr:col>
      <xdr:colOff>0</xdr:colOff>
      <xdr:row>35</xdr:row>
      <xdr:rowOff>0</xdr:rowOff>
    </xdr:to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7</xdr:row>
      <xdr:rowOff>0</xdr:rowOff>
    </xdr:from>
    <xdr:to>
      <xdr:col>9</xdr:col>
      <xdr:colOff>0</xdr:colOff>
      <xdr:row>28</xdr:row>
      <xdr:rowOff>0</xdr:rowOff>
    </xdr:to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6</xdr:col>
      <xdr:colOff>0</xdr:colOff>
      <xdr:row>0</xdr:row>
      <xdr:rowOff>0</xdr:rowOff>
    </xdr:from>
    <xdr:to>
      <xdr:col>18</xdr:col>
      <xdr:colOff>0</xdr:colOff>
      <xdr:row>44</xdr:row>
      <xdr:rowOff>0</xdr:rowOff>
    </xdr:to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rawing2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rawing3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Drawing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30" customWidth="1"/>
    <col min="3" max="3" width="4" customWidth="1"/>
    <col min="4" max="5" width="1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spans="4:5" x14ac:dyDescent="0.25">
      <c r="D2" s="2" t="s">
        <v>1</v>
      </c>
      <c r="E2" s="2" t="s">
        <v>2</v>
      </c>
    </row>
    <row r="3" spans="1:5" x14ac:dyDescent="0.25">
      <c r="A3" s="3" t="s">
        <v>3</v>
      </c>
      <c r="B3" t="s">
        <v>4</v>
      </c>
      <c r="D3" s="4" t="s">
        <v>5</v>
      </c>
      <c r="E3">
        <v>296</v>
      </c>
    </row>
    <row r="4" spans="1:5" x14ac:dyDescent="0.25">
      <c r="A4" s="3" t="s">
        <v>6</v>
      </c>
      <c r="B4" t="s">
        <v>7</v>
      </c>
      <c r="D4" s="5" t="s">
        <v>8</v>
      </c>
      <c r="E4">
        <v>117</v>
      </c>
    </row>
    <row r="5" spans="1:5" x14ac:dyDescent="0.25">
      <c r="A5" s="3" t="s">
        <v>9</v>
      </c>
      <c r="B5" t="s">
        <v>10</v>
      </c>
      <c r="D5" s="6" t="s">
        <v>11</v>
      </c>
      <c r="E5">
        <v>35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>
        <v>30</v>
      </c>
    </row>
    <row r="8" spans="1:2" x14ac:dyDescent="0.25">
      <c r="A8" s="3" t="s">
        <v>15</v>
      </c>
      <c r="B8">
        <v>60</v>
      </c>
    </row>
    <row r="9" spans="1:2" x14ac:dyDescent="0.25">
      <c r="A9" s="3" t="s">
        <v>16</v>
      </c>
      <c r="B9">
        <v>36</v>
      </c>
    </row>
    <row r="10" spans="1:2" x14ac:dyDescent="0.25">
      <c r="A10" s="3" t="s">
        <v>17</v>
      </c>
      <c r="B10">
        <v>3</v>
      </c>
    </row>
    <row r="11" spans="1:2" x14ac:dyDescent="0.25">
      <c r="A11" s="3" t="s">
        <v>18</v>
      </c>
      <c r="B11">
        <v>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6" customWidth="1"/>
    <col min="2" max="5" width="12" customWidth="1"/>
    <col min="6" max="6" width="14" customWidth="1"/>
  </cols>
  <sheetData>
    <row r="1" spans="1:6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x14ac:dyDescent="0.25">
      <c r="A2" t="s">
        <v>25</v>
      </c>
      <c r="B2">
        <v>28</v>
      </c>
      <c r="C2">
        <v>12</v>
      </c>
      <c r="D2">
        <v>0</v>
      </c>
      <c r="E2">
        <f>B2+C2+D2</f>
        <v>40</v>
      </c>
      <c r="F2" s="7">
        <f>E2/60</f>
        <v>0.6666666666666666</v>
      </c>
    </row>
    <row r="3" spans="1:6" x14ac:dyDescent="0.25">
      <c r="A3" t="s">
        <v>26</v>
      </c>
      <c r="B3">
        <v>12</v>
      </c>
      <c r="C3">
        <v>25</v>
      </c>
      <c r="D3">
        <v>0</v>
      </c>
      <c r="E3">
        <f>B3+C3+D3</f>
        <v>37</v>
      </c>
      <c r="F3" s="7">
        <f>E3/60</f>
        <v>0.6166666666666667</v>
      </c>
    </row>
    <row r="4" spans="1:6" x14ac:dyDescent="0.25">
      <c r="A4" t="s">
        <v>27</v>
      </c>
      <c r="B4">
        <v>45</v>
      </c>
      <c r="C4">
        <v>5</v>
      </c>
      <c r="D4">
        <v>0</v>
      </c>
      <c r="E4">
        <f>B4+C4+D4</f>
        <v>50</v>
      </c>
      <c r="F4" s="7">
        <f>E4/60</f>
        <v>0.8333333333333334</v>
      </c>
    </row>
    <row r="5" spans="1:6" x14ac:dyDescent="0.25">
      <c r="A5" t="s">
        <v>28</v>
      </c>
      <c r="B5">
        <v>52</v>
      </c>
      <c r="C5">
        <v>13</v>
      </c>
      <c r="D5">
        <v>0</v>
      </c>
      <c r="E5">
        <f>B5+C5+D5</f>
        <v>65</v>
      </c>
      <c r="F5" s="7">
        <f>E5/60</f>
        <v>1.0833333333333333</v>
      </c>
    </row>
    <row r="6" spans="1:6" x14ac:dyDescent="0.25">
      <c r="A6" t="s">
        <v>29</v>
      </c>
      <c r="B6">
        <v>12</v>
      </c>
      <c r="C6">
        <v>15</v>
      </c>
      <c r="D6">
        <v>20</v>
      </c>
      <c r="E6">
        <f>B6+C6+D6</f>
        <v>47</v>
      </c>
      <c r="F6" s="7">
        <f>E6/60</f>
        <v>0.7833333333333333</v>
      </c>
    </row>
    <row r="7" spans="1:6" x14ac:dyDescent="0.25">
      <c r="A7" t="s">
        <v>30</v>
      </c>
      <c r="B7">
        <v>42</v>
      </c>
      <c r="C7">
        <v>5</v>
      </c>
      <c r="D7">
        <v>15</v>
      </c>
      <c r="E7">
        <f>B7+C7+D7</f>
        <v>62</v>
      </c>
      <c r="F7" s="7">
        <f>E7/60</f>
        <v>1.0333333333333334</v>
      </c>
    </row>
    <row r="8" spans="1:6" x14ac:dyDescent="0.25">
      <c r="A8" t="s">
        <v>31</v>
      </c>
      <c r="B8">
        <v>43</v>
      </c>
      <c r="C8">
        <v>12</v>
      </c>
      <c r="D8">
        <v>0</v>
      </c>
      <c r="E8">
        <f>B8+C8+D8</f>
        <v>55</v>
      </c>
      <c r="F8" s="7">
        <f>E8/60</f>
        <v>0.9166666666666666</v>
      </c>
    </row>
    <row r="9" spans="1:6" x14ac:dyDescent="0.25">
      <c r="A9" t="s">
        <v>32</v>
      </c>
      <c r="B9">
        <v>15</v>
      </c>
      <c r="C9">
        <v>25</v>
      </c>
      <c r="D9">
        <v>0</v>
      </c>
      <c r="E9">
        <f>B9+C9+D9</f>
        <v>40</v>
      </c>
      <c r="F9" s="7">
        <f>E9/60</f>
        <v>0.6666666666666666</v>
      </c>
    </row>
    <row r="10" spans="1:6" x14ac:dyDescent="0.25">
      <c r="A10" t="s">
        <v>33</v>
      </c>
      <c r="B10">
        <v>47</v>
      </c>
      <c r="C10">
        <v>5</v>
      </c>
      <c r="D10">
        <v>0</v>
      </c>
      <c r="E10">
        <f>B10+C10+D10</f>
        <v>52</v>
      </c>
      <c r="F10" s="7">
        <f>E10/60</f>
        <v>0.8666666666666667</v>
      </c>
    </row>
    <row r="12" spans="1:1" x14ac:dyDescent="0.25">
      <c r="A12" s="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12" customWidth="1"/>
  </cols>
  <sheetData>
    <row r="1" spans="1:4" x14ac:dyDescent="0.25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25">
      <c r="A2" t="s">
        <v>39</v>
      </c>
      <c r="B2" s="7">
        <v>0.6692913385826772</v>
      </c>
      <c r="C2" s="7">
        <v>0.33070866141732286</v>
      </c>
      <c r="D2" s="7">
        <v>0</v>
      </c>
    </row>
    <row r="3" spans="1:4" x14ac:dyDescent="0.25">
      <c r="A3" t="s">
        <v>40</v>
      </c>
      <c r="B3" s="7">
        <v>0.6091954022988506</v>
      </c>
      <c r="C3" s="7">
        <v>0.1896551724137931</v>
      </c>
      <c r="D3" s="7">
        <v>0.20114942528735633</v>
      </c>
    </row>
    <row r="4" spans="1:4" x14ac:dyDescent="0.25">
      <c r="A4" t="s">
        <v>41</v>
      </c>
      <c r="B4" s="7">
        <v>0.7142857142857143</v>
      </c>
      <c r="C4" s="7">
        <v>0.2857142857142857</v>
      </c>
      <c r="D4" s="7">
        <v>0</v>
      </c>
    </row>
    <row r="6" spans="1:1" x14ac:dyDescent="0.25">
      <c r="A6" s="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" customWidth="1"/>
    <col min="3" max="3" width="16" customWidth="1"/>
    <col min="4" max="4" width="8" customWidth="1"/>
    <col min="5" max="5" width="26" customWidth="1"/>
    <col min="6" max="8" width="10" customWidth="1"/>
    <col min="9" max="9" width="14" customWidth="1"/>
  </cols>
  <sheetData>
    <row r="1" spans="1:9" x14ac:dyDescent="0.25">
      <c r="A1" s="2" t="s">
        <v>43</v>
      </c>
      <c r="B1" s="2" t="s">
        <v>35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1</v>
      </c>
    </row>
    <row r="2" spans="1:9" x14ac:dyDescent="0.25">
      <c r="A2">
        <v>1</v>
      </c>
      <c r="B2">
        <v>1</v>
      </c>
      <c r="C2" t="s">
        <v>50</v>
      </c>
      <c r="D2" t="s">
        <v>51</v>
      </c>
      <c r="E2" t="s">
        <v>52</v>
      </c>
      <c r="F2">
        <v>0</v>
      </c>
      <c r="G2">
        <v>5</v>
      </c>
      <c r="H2">
        <v>5</v>
      </c>
      <c r="I2" s="9" t="s">
        <v>53</v>
      </c>
    </row>
    <row r="3" spans="1:9" x14ac:dyDescent="0.25">
      <c r="A3">
        <v>2</v>
      </c>
      <c r="B3">
        <v>1</v>
      </c>
      <c r="C3" t="s">
        <v>54</v>
      </c>
      <c r="D3" t="s">
        <v>51</v>
      </c>
      <c r="E3" t="s">
        <v>55</v>
      </c>
      <c r="F3">
        <v>0</v>
      </c>
      <c r="G3">
        <v>8</v>
      </c>
      <c r="H3">
        <v>8</v>
      </c>
      <c r="I3" s="9" t="s">
        <v>53</v>
      </c>
    </row>
    <row r="4" spans="1:9" x14ac:dyDescent="0.25">
      <c r="A4">
        <v>3</v>
      </c>
      <c r="B4">
        <v>1</v>
      </c>
      <c r="C4" t="s">
        <v>56</v>
      </c>
      <c r="D4" t="s">
        <v>57</v>
      </c>
      <c r="E4" t="s">
        <v>55</v>
      </c>
      <c r="F4">
        <v>0</v>
      </c>
      <c r="G4">
        <v>5</v>
      </c>
      <c r="H4">
        <v>5</v>
      </c>
      <c r="I4" s="9" t="s">
        <v>58</v>
      </c>
    </row>
    <row r="5" spans="1:9" x14ac:dyDescent="0.25">
      <c r="A5">
        <v>4</v>
      </c>
      <c r="B5">
        <v>1</v>
      </c>
      <c r="C5" t="s">
        <v>50</v>
      </c>
      <c r="D5" t="s">
        <v>51</v>
      </c>
      <c r="E5" t="s">
        <v>59</v>
      </c>
      <c r="F5">
        <v>5</v>
      </c>
      <c r="G5">
        <v>23</v>
      </c>
      <c r="H5">
        <v>18</v>
      </c>
      <c r="I5" s="10" t="s">
        <v>60</v>
      </c>
    </row>
    <row r="6" spans="1:9" x14ac:dyDescent="0.25">
      <c r="A6">
        <v>5</v>
      </c>
      <c r="B6">
        <v>1</v>
      </c>
      <c r="C6" t="s">
        <v>56</v>
      </c>
      <c r="D6" t="s">
        <v>57</v>
      </c>
      <c r="E6" t="s">
        <v>61</v>
      </c>
      <c r="F6">
        <v>5</v>
      </c>
      <c r="G6">
        <v>30</v>
      </c>
      <c r="H6">
        <v>25</v>
      </c>
      <c r="I6" s="10" t="s">
        <v>62</v>
      </c>
    </row>
    <row r="7" spans="1:9" x14ac:dyDescent="0.25">
      <c r="A7">
        <v>6</v>
      </c>
      <c r="B7">
        <v>1</v>
      </c>
      <c r="C7" t="s">
        <v>54</v>
      </c>
      <c r="D7" t="s">
        <v>51</v>
      </c>
      <c r="E7" t="s">
        <v>63</v>
      </c>
      <c r="F7">
        <v>8</v>
      </c>
      <c r="G7">
        <v>15</v>
      </c>
      <c r="H7">
        <v>7</v>
      </c>
      <c r="I7" s="9" t="s">
        <v>53</v>
      </c>
    </row>
    <row r="8" spans="1:9" x14ac:dyDescent="0.25">
      <c r="A8">
        <v>7</v>
      </c>
      <c r="B8">
        <v>1</v>
      </c>
      <c r="C8" t="s">
        <v>54</v>
      </c>
      <c r="D8" t="s">
        <v>51</v>
      </c>
      <c r="E8" t="s">
        <v>64</v>
      </c>
      <c r="F8">
        <v>15</v>
      </c>
      <c r="G8">
        <v>27</v>
      </c>
      <c r="H8">
        <v>12</v>
      </c>
      <c r="I8" s="10" t="s">
        <v>60</v>
      </c>
    </row>
    <row r="9" spans="1:9" x14ac:dyDescent="0.25">
      <c r="A9">
        <v>8</v>
      </c>
      <c r="B9">
        <v>1</v>
      </c>
      <c r="C9" t="s">
        <v>50</v>
      </c>
      <c r="D9" t="s">
        <v>51</v>
      </c>
      <c r="E9" t="s">
        <v>65</v>
      </c>
      <c r="F9">
        <v>23</v>
      </c>
      <c r="G9">
        <v>33</v>
      </c>
      <c r="H9">
        <v>10</v>
      </c>
      <c r="I9" s="10" t="s">
        <v>60</v>
      </c>
    </row>
    <row r="10" spans="1:9" x14ac:dyDescent="0.25">
      <c r="A10">
        <v>9</v>
      </c>
      <c r="B10">
        <v>1</v>
      </c>
      <c r="C10" t="s">
        <v>54</v>
      </c>
      <c r="D10" t="s">
        <v>51</v>
      </c>
      <c r="E10" t="s">
        <v>66</v>
      </c>
      <c r="F10">
        <v>27</v>
      </c>
      <c r="G10">
        <v>37</v>
      </c>
      <c r="H10">
        <v>10</v>
      </c>
      <c r="I10" s="9" t="s">
        <v>53</v>
      </c>
    </row>
    <row r="11" spans="1:9" x14ac:dyDescent="0.25">
      <c r="A11">
        <v>10</v>
      </c>
      <c r="B11">
        <v>1</v>
      </c>
      <c r="C11" t="s">
        <v>56</v>
      </c>
      <c r="D11" t="s">
        <v>57</v>
      </c>
      <c r="E11" t="s">
        <v>61</v>
      </c>
      <c r="F11">
        <v>30</v>
      </c>
      <c r="G11">
        <v>50</v>
      </c>
      <c r="H11">
        <v>20</v>
      </c>
      <c r="I11" s="10" t="s">
        <v>62</v>
      </c>
    </row>
    <row r="12" spans="1:9" x14ac:dyDescent="0.25">
      <c r="A12">
        <v>11</v>
      </c>
      <c r="B12">
        <v>1</v>
      </c>
      <c r="C12" t="s">
        <v>50</v>
      </c>
      <c r="D12" t="s">
        <v>51</v>
      </c>
      <c r="E12" t="s">
        <v>67</v>
      </c>
      <c r="F12">
        <v>33</v>
      </c>
      <c r="G12">
        <v>40</v>
      </c>
      <c r="H12">
        <v>7</v>
      </c>
      <c r="I12" s="9" t="s">
        <v>53</v>
      </c>
    </row>
    <row r="13" spans="1:9" x14ac:dyDescent="0.25">
      <c r="A13">
        <v>12</v>
      </c>
      <c r="B13">
        <v>2</v>
      </c>
      <c r="C13" t="s">
        <v>50</v>
      </c>
      <c r="D13" t="s">
        <v>51</v>
      </c>
      <c r="E13" t="s">
        <v>52</v>
      </c>
      <c r="F13">
        <v>65</v>
      </c>
      <c r="G13">
        <v>70</v>
      </c>
      <c r="H13">
        <v>5</v>
      </c>
      <c r="I13" s="9" t="s">
        <v>53</v>
      </c>
    </row>
    <row r="14" spans="1:9" x14ac:dyDescent="0.25">
      <c r="A14">
        <v>13</v>
      </c>
      <c r="B14">
        <v>2</v>
      </c>
      <c r="C14" t="s">
        <v>54</v>
      </c>
      <c r="D14" t="s">
        <v>51</v>
      </c>
      <c r="E14" t="s">
        <v>55</v>
      </c>
      <c r="F14">
        <v>65</v>
      </c>
      <c r="G14">
        <v>73</v>
      </c>
      <c r="H14">
        <v>8</v>
      </c>
      <c r="I14" s="9" t="s">
        <v>53</v>
      </c>
    </row>
    <row r="15" spans="1:9" x14ac:dyDescent="0.25">
      <c r="A15">
        <v>14</v>
      </c>
      <c r="B15">
        <v>2</v>
      </c>
      <c r="C15" t="s">
        <v>56</v>
      </c>
      <c r="D15" t="s">
        <v>57</v>
      </c>
      <c r="E15" t="s">
        <v>55</v>
      </c>
      <c r="F15">
        <v>65</v>
      </c>
      <c r="G15">
        <v>70</v>
      </c>
      <c r="H15">
        <v>5</v>
      </c>
      <c r="I15" s="9" t="s">
        <v>58</v>
      </c>
    </row>
    <row r="16" spans="1:9" x14ac:dyDescent="0.25">
      <c r="A16">
        <v>15</v>
      </c>
      <c r="B16">
        <v>2</v>
      </c>
      <c r="C16" t="s">
        <v>50</v>
      </c>
      <c r="D16" t="s">
        <v>51</v>
      </c>
      <c r="E16" t="s">
        <v>59</v>
      </c>
      <c r="F16">
        <v>70</v>
      </c>
      <c r="G16">
        <v>92</v>
      </c>
      <c r="H16">
        <v>22</v>
      </c>
      <c r="I16" s="10" t="s">
        <v>60</v>
      </c>
    </row>
    <row r="17" spans="1:9" x14ac:dyDescent="0.25">
      <c r="A17">
        <v>16</v>
      </c>
      <c r="B17">
        <v>2</v>
      </c>
      <c r="C17" t="s">
        <v>56</v>
      </c>
      <c r="D17" t="s">
        <v>57</v>
      </c>
      <c r="E17" t="s">
        <v>61</v>
      </c>
      <c r="F17">
        <v>70</v>
      </c>
      <c r="G17">
        <v>95</v>
      </c>
      <c r="H17">
        <v>25</v>
      </c>
      <c r="I17" s="10" t="s">
        <v>62</v>
      </c>
    </row>
    <row r="18" spans="1:9" x14ac:dyDescent="0.25">
      <c r="A18">
        <v>17</v>
      </c>
      <c r="B18">
        <v>2</v>
      </c>
      <c r="C18" t="s">
        <v>54</v>
      </c>
      <c r="D18" t="s">
        <v>51</v>
      </c>
      <c r="E18" t="s">
        <v>63</v>
      </c>
      <c r="F18">
        <v>73</v>
      </c>
      <c r="G18">
        <v>80</v>
      </c>
      <c r="H18">
        <v>7</v>
      </c>
      <c r="I18" s="9" t="s">
        <v>53</v>
      </c>
    </row>
    <row r="19" spans="1:9" x14ac:dyDescent="0.25">
      <c r="A19">
        <v>18</v>
      </c>
      <c r="B19">
        <v>2</v>
      </c>
      <c r="C19" t="s">
        <v>54</v>
      </c>
      <c r="D19" t="s">
        <v>51</v>
      </c>
      <c r="E19" t="s">
        <v>68</v>
      </c>
      <c r="F19">
        <v>80</v>
      </c>
      <c r="G19">
        <v>100</v>
      </c>
      <c r="H19">
        <v>20</v>
      </c>
      <c r="I19" s="11" t="s">
        <v>69</v>
      </c>
    </row>
    <row r="20" spans="1:9" x14ac:dyDescent="0.25">
      <c r="A20">
        <v>19</v>
      </c>
      <c r="B20">
        <v>2</v>
      </c>
      <c r="C20" t="s">
        <v>50</v>
      </c>
      <c r="D20" t="s">
        <v>51</v>
      </c>
      <c r="E20" t="s">
        <v>65</v>
      </c>
      <c r="F20">
        <v>92</v>
      </c>
      <c r="G20">
        <v>107</v>
      </c>
      <c r="H20">
        <v>15</v>
      </c>
      <c r="I20" s="10" t="s">
        <v>60</v>
      </c>
    </row>
    <row r="21" spans="1:9" x14ac:dyDescent="0.25">
      <c r="A21">
        <v>20</v>
      </c>
      <c r="B21">
        <v>2</v>
      </c>
      <c r="C21" t="s">
        <v>56</v>
      </c>
      <c r="D21" t="s">
        <v>57</v>
      </c>
      <c r="E21" t="s">
        <v>70</v>
      </c>
      <c r="F21">
        <v>95</v>
      </c>
      <c r="G21">
        <v>110</v>
      </c>
      <c r="H21">
        <v>15</v>
      </c>
      <c r="I21" s="11" t="s">
        <v>71</v>
      </c>
    </row>
    <row r="22" spans="1:9" x14ac:dyDescent="0.25">
      <c r="A22">
        <v>21</v>
      </c>
      <c r="B22">
        <v>2</v>
      </c>
      <c r="C22" t="s">
        <v>54</v>
      </c>
      <c r="D22" t="s">
        <v>51</v>
      </c>
      <c r="E22" t="s">
        <v>64</v>
      </c>
      <c r="F22">
        <v>100</v>
      </c>
      <c r="G22">
        <v>112</v>
      </c>
      <c r="H22">
        <v>12</v>
      </c>
      <c r="I22" s="10" t="s">
        <v>60</v>
      </c>
    </row>
    <row r="23" spans="1:9" x14ac:dyDescent="0.25">
      <c r="A23">
        <v>22</v>
      </c>
      <c r="B23">
        <v>2</v>
      </c>
      <c r="C23" t="s">
        <v>50</v>
      </c>
      <c r="D23" t="s">
        <v>51</v>
      </c>
      <c r="E23" t="s">
        <v>67</v>
      </c>
      <c r="F23">
        <v>107</v>
      </c>
      <c r="G23">
        <v>115</v>
      </c>
      <c r="H23">
        <v>8</v>
      </c>
      <c r="I23" s="9" t="s">
        <v>53</v>
      </c>
    </row>
    <row r="24" spans="1:9" x14ac:dyDescent="0.25">
      <c r="A24">
        <v>23</v>
      </c>
      <c r="B24">
        <v>2</v>
      </c>
      <c r="C24" t="s">
        <v>56</v>
      </c>
      <c r="D24" t="s">
        <v>57</v>
      </c>
      <c r="E24" t="s">
        <v>61</v>
      </c>
      <c r="F24">
        <v>110</v>
      </c>
      <c r="G24">
        <v>127</v>
      </c>
      <c r="H24">
        <v>17</v>
      </c>
      <c r="I24" s="10" t="s">
        <v>62</v>
      </c>
    </row>
    <row r="25" spans="1:9" x14ac:dyDescent="0.25">
      <c r="A25">
        <v>24</v>
      </c>
      <c r="B25">
        <v>2</v>
      </c>
      <c r="C25" t="s">
        <v>50</v>
      </c>
      <c r="D25" t="s">
        <v>51</v>
      </c>
      <c r="E25" t="s">
        <v>72</v>
      </c>
      <c r="F25">
        <v>115</v>
      </c>
      <c r="G25">
        <v>130</v>
      </c>
      <c r="H25">
        <v>15</v>
      </c>
      <c r="I25" s="10" t="s">
        <v>60</v>
      </c>
    </row>
    <row r="26" spans="1:9" x14ac:dyDescent="0.25">
      <c r="A26">
        <v>25</v>
      </c>
      <c r="B26">
        <v>3</v>
      </c>
      <c r="C26" t="s">
        <v>50</v>
      </c>
      <c r="D26" t="s">
        <v>51</v>
      </c>
      <c r="E26" t="s">
        <v>52</v>
      </c>
      <c r="F26">
        <v>130</v>
      </c>
      <c r="G26">
        <v>135</v>
      </c>
      <c r="H26">
        <v>5</v>
      </c>
      <c r="I26" s="9" t="s">
        <v>53</v>
      </c>
    </row>
    <row r="27" spans="1:9" x14ac:dyDescent="0.25">
      <c r="A27">
        <v>26</v>
      </c>
      <c r="B27">
        <v>3</v>
      </c>
      <c r="C27" t="s">
        <v>54</v>
      </c>
      <c r="D27" t="s">
        <v>51</v>
      </c>
      <c r="E27" t="s">
        <v>55</v>
      </c>
      <c r="F27">
        <v>130</v>
      </c>
      <c r="G27">
        <v>138</v>
      </c>
      <c r="H27">
        <v>8</v>
      </c>
      <c r="I27" s="9" t="s">
        <v>53</v>
      </c>
    </row>
    <row r="28" spans="1:9" x14ac:dyDescent="0.25">
      <c r="A28">
        <v>27</v>
      </c>
      <c r="B28">
        <v>3</v>
      </c>
      <c r="C28" t="s">
        <v>56</v>
      </c>
      <c r="D28" t="s">
        <v>57</v>
      </c>
      <c r="E28" t="s">
        <v>55</v>
      </c>
      <c r="F28">
        <v>130</v>
      </c>
      <c r="G28">
        <v>135</v>
      </c>
      <c r="H28">
        <v>5</v>
      </c>
      <c r="I28" s="9" t="s">
        <v>58</v>
      </c>
    </row>
    <row r="29" spans="1:9" x14ac:dyDescent="0.25">
      <c r="A29">
        <v>28</v>
      </c>
      <c r="B29">
        <v>3</v>
      </c>
      <c r="C29" t="s">
        <v>50</v>
      </c>
      <c r="D29" t="s">
        <v>51</v>
      </c>
      <c r="E29" t="s">
        <v>59</v>
      </c>
      <c r="F29">
        <v>135</v>
      </c>
      <c r="G29">
        <v>153</v>
      </c>
      <c r="H29">
        <v>18</v>
      </c>
      <c r="I29" s="10" t="s">
        <v>60</v>
      </c>
    </row>
    <row r="30" spans="1:9" x14ac:dyDescent="0.25">
      <c r="A30">
        <v>29</v>
      </c>
      <c r="B30">
        <v>3</v>
      </c>
      <c r="C30" t="s">
        <v>56</v>
      </c>
      <c r="D30" t="s">
        <v>57</v>
      </c>
      <c r="E30" t="s">
        <v>61</v>
      </c>
      <c r="F30">
        <v>135</v>
      </c>
      <c r="G30">
        <v>160</v>
      </c>
      <c r="H30">
        <v>25</v>
      </c>
      <c r="I30" s="10" t="s">
        <v>62</v>
      </c>
    </row>
    <row r="31" spans="1:9" x14ac:dyDescent="0.25">
      <c r="A31">
        <v>30</v>
      </c>
      <c r="B31">
        <v>3</v>
      </c>
      <c r="C31" t="s">
        <v>54</v>
      </c>
      <c r="D31" t="s">
        <v>51</v>
      </c>
      <c r="E31" t="s">
        <v>63</v>
      </c>
      <c r="F31">
        <v>138</v>
      </c>
      <c r="G31">
        <v>145</v>
      </c>
      <c r="H31">
        <v>7</v>
      </c>
      <c r="I31" s="9" t="s">
        <v>53</v>
      </c>
    </row>
    <row r="32" spans="1:9" x14ac:dyDescent="0.25">
      <c r="A32">
        <v>31</v>
      </c>
      <c r="B32">
        <v>3</v>
      </c>
      <c r="C32" t="s">
        <v>54</v>
      </c>
      <c r="D32" t="s">
        <v>51</v>
      </c>
      <c r="E32" t="s">
        <v>64</v>
      </c>
      <c r="F32">
        <v>145</v>
      </c>
      <c r="G32">
        <v>160</v>
      </c>
      <c r="H32">
        <v>15</v>
      </c>
      <c r="I32" s="10" t="s">
        <v>60</v>
      </c>
    </row>
    <row r="33" spans="1:9" x14ac:dyDescent="0.25">
      <c r="A33">
        <v>32</v>
      </c>
      <c r="B33">
        <v>3</v>
      </c>
      <c r="C33" t="s">
        <v>50</v>
      </c>
      <c r="D33" t="s">
        <v>51</v>
      </c>
      <c r="E33" t="s">
        <v>65</v>
      </c>
      <c r="F33">
        <v>153</v>
      </c>
      <c r="G33">
        <v>165</v>
      </c>
      <c r="H33">
        <v>12</v>
      </c>
      <c r="I33" s="10" t="s">
        <v>60</v>
      </c>
    </row>
    <row r="34" spans="1:9" x14ac:dyDescent="0.25">
      <c r="A34">
        <v>33</v>
      </c>
      <c r="B34">
        <v>3</v>
      </c>
      <c r="C34" t="s">
        <v>54</v>
      </c>
      <c r="D34" t="s">
        <v>51</v>
      </c>
      <c r="E34" t="s">
        <v>66</v>
      </c>
      <c r="F34">
        <v>160</v>
      </c>
      <c r="G34">
        <v>170</v>
      </c>
      <c r="H34">
        <v>10</v>
      </c>
      <c r="I34" s="9" t="s">
        <v>53</v>
      </c>
    </row>
    <row r="35" spans="1:9" x14ac:dyDescent="0.25">
      <c r="A35">
        <v>34</v>
      </c>
      <c r="B35">
        <v>3</v>
      </c>
      <c r="C35" t="s">
        <v>56</v>
      </c>
      <c r="D35" t="s">
        <v>57</v>
      </c>
      <c r="E35" t="s">
        <v>61</v>
      </c>
      <c r="F35">
        <v>160</v>
      </c>
      <c r="G35">
        <v>182</v>
      </c>
      <c r="H35">
        <v>22</v>
      </c>
      <c r="I35" s="10" t="s">
        <v>62</v>
      </c>
    </row>
    <row r="36" spans="1:9" x14ac:dyDescent="0.25">
      <c r="A36">
        <v>35</v>
      </c>
      <c r="B36">
        <v>3</v>
      </c>
      <c r="C36" t="s">
        <v>50</v>
      </c>
      <c r="D36" t="s">
        <v>51</v>
      </c>
      <c r="E36" t="s">
        <v>67</v>
      </c>
      <c r="F36">
        <v>165</v>
      </c>
      <c r="G36">
        <v>172</v>
      </c>
      <c r="H36">
        <v>7</v>
      </c>
      <c r="I36" s="9" t="s">
        <v>53</v>
      </c>
    </row>
    <row r="37" spans="1:9" x14ac:dyDescent="0.25">
      <c r="A37">
        <v>36</v>
      </c>
      <c r="B37">
        <v>3</v>
      </c>
      <c r="C37" t="s">
        <v>50</v>
      </c>
      <c r="D37" t="s">
        <v>51</v>
      </c>
      <c r="E37" t="s">
        <v>72</v>
      </c>
      <c r="F37">
        <v>172</v>
      </c>
      <c r="G37">
        <v>185</v>
      </c>
      <c r="H37">
        <v>13</v>
      </c>
      <c r="I37" s="10" t="s">
        <v>60</v>
      </c>
    </row>
  </sheetData>
  <autoFilter ref="A1:I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4" customWidth="1"/>
    <col min="2" max="2" width="8" customWidth="1"/>
    <col min="3" max="3" width="28" customWidth="1"/>
    <col min="4" max="5" width="50" customWidth="1"/>
  </cols>
  <sheetData>
    <row r="1" spans="1:5" x14ac:dyDescent="0.25">
      <c r="A1" s="2" t="s">
        <v>73</v>
      </c>
      <c r="B1" s="2" t="s">
        <v>35</v>
      </c>
      <c r="C1" s="2" t="s">
        <v>74</v>
      </c>
      <c r="D1" s="2" t="s">
        <v>75</v>
      </c>
      <c r="E1" s="2" t="s">
        <v>76</v>
      </c>
    </row>
    <row r="2" ht="50" customHeight="1" spans="1:5" x14ac:dyDescent="0.25">
      <c r="A2" s="12" t="s">
        <v>77</v>
      </c>
      <c r="B2" t="s">
        <v>40</v>
      </c>
      <c r="C2" t="s">
        <v>78</v>
      </c>
      <c r="D2" s="13" t="s">
        <v>79</v>
      </c>
      <c r="E2" s="13" t="s">
        <v>80</v>
      </c>
    </row>
    <row r="3" ht="50" customHeight="1" spans="1:5" x14ac:dyDescent="0.25">
      <c r="A3" s="12" t="s">
        <v>77</v>
      </c>
      <c r="B3" t="s">
        <v>40</v>
      </c>
      <c r="C3" t="s">
        <v>81</v>
      </c>
      <c r="D3" s="13" t="s">
        <v>82</v>
      </c>
      <c r="E3" s="13" t="s">
        <v>80</v>
      </c>
    </row>
    <row r="4" ht="50" customHeight="1" spans="1:5" x14ac:dyDescent="0.25">
      <c r="A4" s="14" t="s">
        <v>83</v>
      </c>
      <c r="B4" t="s">
        <v>39</v>
      </c>
      <c r="C4" t="s">
        <v>84</v>
      </c>
      <c r="D4" s="13" t="s">
        <v>85</v>
      </c>
      <c r="E4" s="13" t="s">
        <v>86</v>
      </c>
    </row>
    <row r="5" ht="50" customHeight="1" spans="1:5" x14ac:dyDescent="0.25">
      <c r="A5" s="14" t="s">
        <v>83</v>
      </c>
      <c r="B5" t="s">
        <v>40</v>
      </c>
      <c r="C5" t="s">
        <v>87</v>
      </c>
      <c r="D5" s="13" t="s">
        <v>88</v>
      </c>
      <c r="E5" s="13" t="s">
        <v>89</v>
      </c>
    </row>
    <row r="6" ht="50" customHeight="1" spans="1:5" x14ac:dyDescent="0.25">
      <c r="A6" s="14" t="s">
        <v>83</v>
      </c>
      <c r="B6" t="s">
        <v>40</v>
      </c>
      <c r="C6" t="s">
        <v>90</v>
      </c>
      <c r="D6" s="13" t="s">
        <v>91</v>
      </c>
      <c r="E6" s="13" t="s">
        <v>92</v>
      </c>
    </row>
    <row r="7" ht="50" customHeight="1" spans="1:5" x14ac:dyDescent="0.25">
      <c r="A7" s="14" t="s">
        <v>83</v>
      </c>
      <c r="B7" t="s">
        <v>41</v>
      </c>
      <c r="C7" t="s">
        <v>93</v>
      </c>
      <c r="D7" s="13" t="s">
        <v>94</v>
      </c>
      <c r="E7" s="1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4" width="12" customWidth="1"/>
    <col min="5" max="5" width="14" customWidth="1"/>
  </cols>
  <sheetData>
    <row r="1" spans="1:5" x14ac:dyDescent="0.25">
      <c r="A1" s="2" t="s">
        <v>19</v>
      </c>
      <c r="B1" s="2" t="s">
        <v>47</v>
      </c>
      <c r="C1" s="2" t="s">
        <v>48</v>
      </c>
      <c r="D1" s="2" t="s">
        <v>49</v>
      </c>
      <c r="E1" s="2" t="s">
        <v>1</v>
      </c>
    </row>
    <row r="2" spans="1:5" x14ac:dyDescent="0.25">
      <c r="A2" t="s">
        <v>95</v>
      </c>
      <c r="B2">
        <v>172</v>
      </c>
      <c r="C2">
        <v>185</v>
      </c>
      <c r="D2">
        <f>C2-B2</f>
        <v>13</v>
      </c>
      <c r="E2" s="4" t="s">
        <v>60</v>
      </c>
    </row>
    <row r="3" spans="1:5" x14ac:dyDescent="0.25">
      <c r="A3" t="s">
        <v>96</v>
      </c>
      <c r="B3">
        <v>165</v>
      </c>
      <c r="C3">
        <v>172</v>
      </c>
      <c r="D3">
        <f>C3-B3</f>
        <v>7</v>
      </c>
      <c r="E3" s="5" t="s">
        <v>53</v>
      </c>
    </row>
    <row r="4" spans="1:5" x14ac:dyDescent="0.25">
      <c r="A4" t="s">
        <v>97</v>
      </c>
      <c r="B4">
        <v>160</v>
      </c>
      <c r="C4">
        <v>170</v>
      </c>
      <c r="D4">
        <f>C4-B4</f>
        <v>10</v>
      </c>
      <c r="E4" s="5" t="s">
        <v>53</v>
      </c>
    </row>
    <row r="5" spans="1:5" x14ac:dyDescent="0.25">
      <c r="A5" t="s">
        <v>98</v>
      </c>
      <c r="B5">
        <v>160</v>
      </c>
      <c r="C5">
        <v>182</v>
      </c>
      <c r="D5">
        <f>C5-B5</f>
        <v>22</v>
      </c>
      <c r="E5" s="4" t="s">
        <v>62</v>
      </c>
    </row>
    <row r="6" spans="1:5" x14ac:dyDescent="0.25">
      <c r="A6" t="s">
        <v>99</v>
      </c>
      <c r="B6">
        <v>153</v>
      </c>
      <c r="C6">
        <v>165</v>
      </c>
      <c r="D6">
        <f>C6-B6</f>
        <v>12</v>
      </c>
      <c r="E6" s="4" t="s">
        <v>60</v>
      </c>
    </row>
    <row r="7" spans="1:5" x14ac:dyDescent="0.25">
      <c r="A7" t="s">
        <v>100</v>
      </c>
      <c r="B7">
        <v>145</v>
      </c>
      <c r="C7">
        <v>160</v>
      </c>
      <c r="D7">
        <f>C7-B7</f>
        <v>15</v>
      </c>
      <c r="E7" s="4" t="s">
        <v>60</v>
      </c>
    </row>
    <row r="8" spans="1:5" x14ac:dyDescent="0.25">
      <c r="A8" t="s">
        <v>101</v>
      </c>
      <c r="B8">
        <v>138</v>
      </c>
      <c r="C8">
        <v>145</v>
      </c>
      <c r="D8">
        <f>C8-B8</f>
        <v>7</v>
      </c>
      <c r="E8" s="5" t="s">
        <v>53</v>
      </c>
    </row>
    <row r="9" spans="1:5" x14ac:dyDescent="0.25">
      <c r="A9" t="s">
        <v>102</v>
      </c>
      <c r="B9">
        <v>135</v>
      </c>
      <c r="C9">
        <v>153</v>
      </c>
      <c r="D9">
        <f>C9-B9</f>
        <v>18</v>
      </c>
      <c r="E9" s="4" t="s">
        <v>60</v>
      </c>
    </row>
    <row r="10" spans="1:5" x14ac:dyDescent="0.25">
      <c r="A10" t="s">
        <v>98</v>
      </c>
      <c r="B10">
        <v>135</v>
      </c>
      <c r="C10">
        <v>160</v>
      </c>
      <c r="D10">
        <f>C10-B10</f>
        <v>25</v>
      </c>
      <c r="E10" s="4" t="s">
        <v>62</v>
      </c>
    </row>
    <row r="11" spans="1:5" x14ac:dyDescent="0.25">
      <c r="A11" t="s">
        <v>103</v>
      </c>
      <c r="B11">
        <v>130</v>
      </c>
      <c r="C11">
        <v>135</v>
      </c>
      <c r="D11">
        <f>C11-B11</f>
        <v>5</v>
      </c>
      <c r="E11" s="5" t="s">
        <v>53</v>
      </c>
    </row>
    <row r="12" spans="1:5" x14ac:dyDescent="0.25">
      <c r="A12" t="s">
        <v>104</v>
      </c>
      <c r="B12">
        <v>130</v>
      </c>
      <c r="C12">
        <v>138</v>
      </c>
      <c r="D12">
        <f>C12-B12</f>
        <v>8</v>
      </c>
      <c r="E12" s="5" t="s">
        <v>53</v>
      </c>
    </row>
    <row r="13" spans="1:5" x14ac:dyDescent="0.25">
      <c r="A13" t="s">
        <v>105</v>
      </c>
      <c r="B13">
        <v>130</v>
      </c>
      <c r="C13">
        <v>135</v>
      </c>
      <c r="D13">
        <f>C13-B13</f>
        <v>5</v>
      </c>
      <c r="E13" s="5" t="s">
        <v>58</v>
      </c>
    </row>
    <row r="14" spans="1:5" x14ac:dyDescent="0.25">
      <c r="A14" t="s">
        <v>95</v>
      </c>
      <c r="B14">
        <v>115</v>
      </c>
      <c r="C14">
        <v>130</v>
      </c>
      <c r="D14">
        <f>C14-B14</f>
        <v>15</v>
      </c>
      <c r="E14" s="4" t="s">
        <v>60</v>
      </c>
    </row>
    <row r="15" spans="1:5" x14ac:dyDescent="0.25">
      <c r="A15" t="s">
        <v>98</v>
      </c>
      <c r="B15">
        <v>110</v>
      </c>
      <c r="C15">
        <v>127</v>
      </c>
      <c r="D15">
        <f>C15-B15</f>
        <v>17</v>
      </c>
      <c r="E15" s="4" t="s">
        <v>62</v>
      </c>
    </row>
    <row r="16" spans="1:5" x14ac:dyDescent="0.25">
      <c r="A16" t="s">
        <v>96</v>
      </c>
      <c r="B16">
        <v>107</v>
      </c>
      <c r="C16">
        <v>115</v>
      </c>
      <c r="D16">
        <f>C16-B16</f>
        <v>8</v>
      </c>
      <c r="E16" s="5" t="s">
        <v>53</v>
      </c>
    </row>
    <row r="17" spans="1:5" x14ac:dyDescent="0.25">
      <c r="A17" t="s">
        <v>100</v>
      </c>
      <c r="B17">
        <v>100</v>
      </c>
      <c r="C17">
        <v>112</v>
      </c>
      <c r="D17">
        <f>C17-B17</f>
        <v>12</v>
      </c>
      <c r="E17" s="4" t="s">
        <v>60</v>
      </c>
    </row>
    <row r="18" spans="1:5" x14ac:dyDescent="0.25">
      <c r="A18" t="s">
        <v>106</v>
      </c>
      <c r="B18">
        <v>95</v>
      </c>
      <c r="C18">
        <v>110</v>
      </c>
      <c r="D18">
        <f>C18-B18</f>
        <v>15</v>
      </c>
      <c r="E18" s="6" t="s">
        <v>71</v>
      </c>
    </row>
    <row r="19" spans="1:5" x14ac:dyDescent="0.25">
      <c r="A19" t="s">
        <v>99</v>
      </c>
      <c r="B19">
        <v>92</v>
      </c>
      <c r="C19">
        <v>107</v>
      </c>
      <c r="D19">
        <f>C19-B19</f>
        <v>15</v>
      </c>
      <c r="E19" s="4" t="s">
        <v>60</v>
      </c>
    </row>
    <row r="20" spans="1:5" x14ac:dyDescent="0.25">
      <c r="A20" t="s">
        <v>107</v>
      </c>
      <c r="B20">
        <v>80</v>
      </c>
      <c r="C20">
        <v>100</v>
      </c>
      <c r="D20">
        <f>C20-B20</f>
        <v>20</v>
      </c>
      <c r="E20" s="6" t="s">
        <v>69</v>
      </c>
    </row>
    <row r="21" spans="1:5" x14ac:dyDescent="0.25">
      <c r="A21" t="s">
        <v>101</v>
      </c>
      <c r="B21">
        <v>73</v>
      </c>
      <c r="C21">
        <v>80</v>
      </c>
      <c r="D21">
        <f>C21-B21</f>
        <v>7</v>
      </c>
      <c r="E21" s="5" t="s">
        <v>53</v>
      </c>
    </row>
    <row r="22" spans="1:5" x14ac:dyDescent="0.25">
      <c r="A22" t="s">
        <v>102</v>
      </c>
      <c r="B22">
        <v>70</v>
      </c>
      <c r="C22">
        <v>92</v>
      </c>
      <c r="D22">
        <f>C22-B22</f>
        <v>22</v>
      </c>
      <c r="E22" s="4" t="s">
        <v>60</v>
      </c>
    </row>
    <row r="23" spans="1:5" x14ac:dyDescent="0.25">
      <c r="A23" t="s">
        <v>98</v>
      </c>
      <c r="B23">
        <v>70</v>
      </c>
      <c r="C23">
        <v>95</v>
      </c>
      <c r="D23">
        <f>C23-B23</f>
        <v>25</v>
      </c>
      <c r="E23" s="4" t="s">
        <v>62</v>
      </c>
    </row>
    <row r="24" spans="1:5" x14ac:dyDescent="0.25">
      <c r="A24" t="s">
        <v>103</v>
      </c>
      <c r="B24">
        <v>65</v>
      </c>
      <c r="C24">
        <v>70</v>
      </c>
      <c r="D24">
        <f>C24-B24</f>
        <v>5</v>
      </c>
      <c r="E24" s="5" t="s">
        <v>53</v>
      </c>
    </row>
    <row r="25" spans="1:5" x14ac:dyDescent="0.25">
      <c r="A25" t="s">
        <v>104</v>
      </c>
      <c r="B25">
        <v>65</v>
      </c>
      <c r="C25">
        <v>73</v>
      </c>
      <c r="D25">
        <f>C25-B25</f>
        <v>8</v>
      </c>
      <c r="E25" s="5" t="s">
        <v>53</v>
      </c>
    </row>
    <row r="26" spans="1:5" x14ac:dyDescent="0.25">
      <c r="A26" t="s">
        <v>105</v>
      </c>
      <c r="B26">
        <v>65</v>
      </c>
      <c r="C26">
        <v>70</v>
      </c>
      <c r="D26">
        <f>C26-B26</f>
        <v>5</v>
      </c>
      <c r="E26" s="5" t="s">
        <v>58</v>
      </c>
    </row>
    <row r="27" spans="1:5" x14ac:dyDescent="0.25">
      <c r="A27" t="s">
        <v>96</v>
      </c>
      <c r="B27">
        <v>33</v>
      </c>
      <c r="C27">
        <v>40</v>
      </c>
      <c r="D27">
        <f>C27-B27</f>
        <v>7</v>
      </c>
      <c r="E27" s="5" t="s">
        <v>53</v>
      </c>
    </row>
    <row r="28" spans="1:5" x14ac:dyDescent="0.25">
      <c r="A28" t="s">
        <v>98</v>
      </c>
      <c r="B28">
        <v>30</v>
      </c>
      <c r="C28">
        <v>50</v>
      </c>
      <c r="D28">
        <f>C28-B28</f>
        <v>20</v>
      </c>
      <c r="E28" s="4" t="s">
        <v>62</v>
      </c>
    </row>
    <row r="29" spans="1:5" x14ac:dyDescent="0.25">
      <c r="A29" t="s">
        <v>97</v>
      </c>
      <c r="B29">
        <v>27</v>
      </c>
      <c r="C29">
        <v>37</v>
      </c>
      <c r="D29">
        <f>C29-B29</f>
        <v>10</v>
      </c>
      <c r="E29" s="5" t="s">
        <v>53</v>
      </c>
    </row>
    <row r="30" spans="1:5" x14ac:dyDescent="0.25">
      <c r="A30" t="s">
        <v>99</v>
      </c>
      <c r="B30">
        <v>23</v>
      </c>
      <c r="C30">
        <v>33</v>
      </c>
      <c r="D30">
        <f>C30-B30</f>
        <v>10</v>
      </c>
      <c r="E30" s="4" t="s">
        <v>60</v>
      </c>
    </row>
    <row r="31" spans="1:5" x14ac:dyDescent="0.25">
      <c r="A31" t="s">
        <v>100</v>
      </c>
      <c r="B31">
        <v>15</v>
      </c>
      <c r="C31">
        <v>27</v>
      </c>
      <c r="D31">
        <f>C31-B31</f>
        <v>12</v>
      </c>
      <c r="E31" s="4" t="s">
        <v>60</v>
      </c>
    </row>
    <row r="32" spans="1:5" x14ac:dyDescent="0.25">
      <c r="A32" t="s">
        <v>101</v>
      </c>
      <c r="B32">
        <v>8</v>
      </c>
      <c r="C32">
        <v>15</v>
      </c>
      <c r="D32">
        <f>C32-B32</f>
        <v>7</v>
      </c>
      <c r="E32" s="5" t="s">
        <v>53</v>
      </c>
    </row>
    <row r="33" spans="1:5" x14ac:dyDescent="0.25">
      <c r="A33" t="s">
        <v>102</v>
      </c>
      <c r="B33">
        <v>5</v>
      </c>
      <c r="C33">
        <v>23</v>
      </c>
      <c r="D33">
        <f>C33-B33</f>
        <v>18</v>
      </c>
      <c r="E33" s="4" t="s">
        <v>60</v>
      </c>
    </row>
    <row r="34" spans="1:5" x14ac:dyDescent="0.25">
      <c r="A34" t="s">
        <v>98</v>
      </c>
      <c r="B34">
        <v>5</v>
      </c>
      <c r="C34">
        <v>30</v>
      </c>
      <c r="D34">
        <f>C34-B34</f>
        <v>25</v>
      </c>
      <c r="E34" s="4" t="s">
        <v>62</v>
      </c>
    </row>
    <row r="35" spans="1:5" x14ac:dyDescent="0.25">
      <c r="A35" t="s">
        <v>103</v>
      </c>
      <c r="B35">
        <v>0</v>
      </c>
      <c r="C35">
        <v>5</v>
      </c>
      <c r="D35">
        <f>C35-B35</f>
        <v>5</v>
      </c>
      <c r="E35" s="5" t="s">
        <v>53</v>
      </c>
    </row>
    <row r="36" spans="1:5" x14ac:dyDescent="0.25">
      <c r="A36" t="s">
        <v>104</v>
      </c>
      <c r="B36">
        <v>0</v>
      </c>
      <c r="C36">
        <v>8</v>
      </c>
      <c r="D36">
        <f>C36-B36</f>
        <v>8</v>
      </c>
      <c r="E36" s="5" t="s">
        <v>53</v>
      </c>
    </row>
    <row r="37" spans="1:5" x14ac:dyDescent="0.25">
      <c r="A37" t="s">
        <v>105</v>
      </c>
      <c r="B37">
        <v>0</v>
      </c>
      <c r="C37">
        <v>5</v>
      </c>
      <c r="D37">
        <f>C37-B37</f>
        <v>5</v>
      </c>
      <c r="E37" s="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山積み表</vt:lpstr>
      <vt:lpstr>サイクル推移</vt:lpstr>
      <vt:lpstr>タスク詳細</vt:lpstr>
      <vt:lpstr>改善ポイント</vt:lpstr>
      <vt:lpstr>ガントチャート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カイゼンスコープ</dc:creator>
  <dc:title/>
  <dc:subject/>
  <dc:description/>
  <cp:keywords/>
  <cp:category/>
  <cp:lastModifiedBy>Unknown</cp:lastModifiedBy>
  <dcterms:created xsi:type="dcterms:W3CDTF">2026-05-20T14:37:34Z</dcterms:created>
  <dcterms:modified xsi:type="dcterms:W3CDTF">2026-05-20T14:37:34Z</dcterms:modified>
</cp:coreProperties>
</file>